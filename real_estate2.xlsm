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G:\My Drive\Python\Xlwings\"/>
    </mc:Choice>
  </mc:AlternateContent>
  <xr:revisionPtr revIDLastSave="0" documentId="13_ncr:1_{036FF0D4-C372-48D6-ABD2-079913258656}" xr6:coauthVersionLast="47" xr6:coauthVersionMax="47" xr10:uidLastSave="{00000000-0000-0000-0000-000000000000}"/>
  <bookViews>
    <workbookView xWindow="28590" yWindow="-16320" windowWidth="29040" windowHeight="15840" activeTab="2" xr2:uid="{67F96626-3EE9-4EBC-B0E1-CB2C377A3B57}"/>
  </bookViews>
  <sheets>
    <sheet name="Input" sheetId="2" r:id="rId1"/>
    <sheet name="Calc" sheetId="1" r:id="rId2"/>
    <sheet name="Monte_Carlo" sheetId="3" r:id="rId3"/>
  </sheets>
  <definedNames>
    <definedName name="cell">Calc!$B$16</definedName>
    <definedName name="cost">Input!$D$40</definedName>
    <definedName name="cpi">Calc!$B$3:$B$12</definedName>
    <definedName name="performance">Input!$G$24:$G$25</definedName>
    <definedName name="ppf">Input!$D$25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" l="1"/>
  <c r="I2" i="1" l="1"/>
  <c r="A13" i="1"/>
  <c r="A4" i="1"/>
  <c r="A5" i="1" s="1"/>
  <c r="A6" i="1" s="1"/>
  <c r="A7" i="1" s="1"/>
  <c r="A8" i="1" s="1"/>
  <c r="A9" i="1" s="1"/>
  <c r="A10" i="1" s="1"/>
  <c r="A11" i="1" s="1"/>
  <c r="A12" i="1" s="1"/>
  <c r="A2" i="1"/>
  <c r="C17" i="2"/>
  <c r="D10" i="2"/>
  <c r="D31" i="2" s="1"/>
  <c r="D6" i="2"/>
  <c r="D5" i="2"/>
  <c r="D8" i="2" s="1"/>
  <c r="D11" i="2" l="1"/>
  <c r="D12" i="2" s="1"/>
  <c r="D2" i="1"/>
  <c r="D35" i="2"/>
  <c r="G2" i="1"/>
  <c r="H2" i="1"/>
  <c r="C4" i="1"/>
  <c r="J2" i="1" l="1"/>
  <c r="D3" i="1"/>
  <c r="D5" i="1"/>
  <c r="D6" i="1"/>
  <c r="D7" i="1"/>
  <c r="D8" i="1"/>
  <c r="D12" i="1"/>
  <c r="D11" i="1"/>
  <c r="D4" i="1"/>
  <c r="J4" i="1" s="1"/>
  <c r="D10" i="1"/>
  <c r="D9" i="1"/>
  <c r="E3" i="1"/>
  <c r="C5" i="1"/>
  <c r="J5" i="1" l="1"/>
  <c r="F3" i="1"/>
  <c r="G3" i="1" s="1"/>
  <c r="E4" i="1" s="1"/>
  <c r="F4" i="1" s="1"/>
  <c r="G4" i="1" s="1"/>
  <c r="E5" i="1" s="1"/>
  <c r="F5" i="1" s="1"/>
  <c r="G5" i="1" s="1"/>
  <c r="E6" i="1" s="1"/>
  <c r="F6" i="1" s="1"/>
  <c r="G6" i="1" s="1"/>
  <c r="E7" i="1" s="1"/>
  <c r="F7" i="1" s="1"/>
  <c r="G7" i="1" s="1"/>
  <c r="J3" i="1"/>
  <c r="C6" i="1"/>
  <c r="J6" i="1" s="1"/>
  <c r="E8" i="1" l="1"/>
  <c r="F8" i="1" s="1"/>
  <c r="G8" i="1" s="1"/>
  <c r="C7" i="1"/>
  <c r="J7" i="1" s="1"/>
  <c r="E9" i="1" l="1"/>
  <c r="F9" i="1" s="1"/>
  <c r="G9" i="1" s="1"/>
  <c r="C8" i="1"/>
  <c r="J8" i="1" s="1"/>
  <c r="E10" i="1" l="1"/>
  <c r="F10" i="1" s="1"/>
  <c r="G10" i="1" s="1"/>
  <c r="C9" i="1"/>
  <c r="J9" i="1" s="1"/>
  <c r="E11" i="1" l="1"/>
  <c r="F11" i="1" s="1"/>
  <c r="G11" i="1" s="1"/>
  <c r="C10" i="1"/>
  <c r="J10" i="1" s="1"/>
  <c r="E12" i="1" l="1"/>
  <c r="F12" i="1" s="1"/>
  <c r="G12" i="1" s="1"/>
  <c r="C11" i="1"/>
  <c r="J11" i="1" s="1"/>
  <c r="C12" i="1" l="1"/>
  <c r="J12" i="1" s="1"/>
  <c r="I13" i="1" l="1"/>
  <c r="F13" i="1" l="1"/>
  <c r="G13" i="1" s="1"/>
  <c r="D13" i="1" l="1"/>
  <c r="J13" i="1" s="1"/>
  <c r="G24" i="2" s="1"/>
  <c r="G25" i="2" l="1"/>
</calcChain>
</file>

<file path=xl/sharedStrings.xml><?xml version="1.0" encoding="utf-8"?>
<sst xmlns="http://schemas.openxmlformats.org/spreadsheetml/2006/main" count="64" uniqueCount="56">
  <si>
    <t>Purchase Price</t>
  </si>
  <si>
    <t>Brokerage Fee</t>
  </si>
  <si>
    <t>Real Estate Transfer Tax</t>
  </si>
  <si>
    <t>Transaction Costs (Legal/Tax Advisory)</t>
  </si>
  <si>
    <t>Total Investment</t>
  </si>
  <si>
    <t>Bank Loan</t>
  </si>
  <si>
    <t>Total Funding</t>
  </si>
  <si>
    <t>Lease Terms</t>
  </si>
  <si>
    <t>Investment &amp; Financing (I&amp;F)</t>
  </si>
  <si>
    <t>Rent (annual)</t>
  </si>
  <si>
    <t>Term (years)</t>
  </si>
  <si>
    <t>Rent Adjustment</t>
  </si>
  <si>
    <t>CPI</t>
  </si>
  <si>
    <t>CPI (Forecast)</t>
  </si>
  <si>
    <t>Exit</t>
  </si>
  <si>
    <t>Purchase Price Factor (Forecast)</t>
  </si>
  <si>
    <t>Loan Terms</t>
  </si>
  <si>
    <t>Initial Balance</t>
  </si>
  <si>
    <t>Ending Balance (after 10 Years)</t>
  </si>
  <si>
    <t>Interest Rate</t>
  </si>
  <si>
    <t>Debt Service (Yearly)</t>
  </si>
  <si>
    <t>Term (Years)</t>
  </si>
  <si>
    <t>Ongoing Costs &amp; Maintenance</t>
  </si>
  <si>
    <t>Total Costs per Year (Forecast)</t>
  </si>
  <si>
    <t>Start Date</t>
  </si>
  <si>
    <t>Date</t>
  </si>
  <si>
    <t>Rents</t>
  </si>
  <si>
    <t>Total Costs</t>
  </si>
  <si>
    <t>Interest Payment</t>
  </si>
  <si>
    <t>Exit Date</t>
  </si>
  <si>
    <t>Loan Amortization</t>
  </si>
  <si>
    <t>Loan Balance</t>
  </si>
  <si>
    <t>Equity Cashflows</t>
  </si>
  <si>
    <t>Investment Multiple</t>
  </si>
  <si>
    <t>Equity Performance</t>
  </si>
  <si>
    <t>Purchase</t>
  </si>
  <si>
    <t>Lease Term</t>
  </si>
  <si>
    <t>Internal Rate of Return (IRR)</t>
  </si>
  <si>
    <t>Purchase &amp; Exit</t>
  </si>
  <si>
    <t>Equity Investment</t>
  </si>
  <si>
    <t>Legend</t>
  </si>
  <si>
    <t>fixed terms</t>
  </si>
  <si>
    <t>forecast</t>
  </si>
  <si>
    <t>uncertainty!</t>
  </si>
  <si>
    <t>Total Loan Payments</t>
  </si>
  <si>
    <t>Monte Carlo Simulation</t>
  </si>
  <si>
    <t>Simulation Summary</t>
  </si>
  <si>
    <t>Mean</t>
  </si>
  <si>
    <t>Median (P50)</t>
  </si>
  <si>
    <t>Internal Rate of Return</t>
  </si>
  <si>
    <t>Shortfall Risk</t>
  </si>
  <si>
    <t>Number of Simulations</t>
  </si>
  <si>
    <t>CPI Assumptions</t>
  </si>
  <si>
    <t>Std</t>
  </si>
  <si>
    <t>PPF Assumptions</t>
  </si>
  <si>
    <t>Costs Assumptions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</si>
</sst>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%"/>
    <numFmt numFmtId="177" formatCode="0.0"/>
  </numFmts>
  <fonts count="13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color theme="0"/>
      <name val="맑은 고딕"/>
      <family val="2"/>
      <scheme val="minor"/>
    </font>
    <font>
      <b/>
      <sz val="11"/>
      <color rgb="FFFF0000"/>
      <name val="맑은 고딕"/>
      <family val="2"/>
      <scheme val="minor"/>
    </font>
    <font>
      <b/>
      <sz val="11"/>
      <color rgb="FFC00000"/>
      <name val="맑은 고딕"/>
      <family val="2"/>
      <scheme val="minor"/>
    </font>
    <font>
      <i/>
      <sz val="9"/>
      <color theme="1"/>
      <name val="맑은 고딕"/>
      <family val="2"/>
      <scheme val="minor"/>
    </font>
    <font>
      <b/>
      <u/>
      <sz val="11"/>
      <color theme="1"/>
      <name val="맑은 고딕"/>
      <family val="2"/>
      <scheme val="minor"/>
    </font>
    <font>
      <b/>
      <sz val="14"/>
      <color theme="1"/>
      <name val="맑은 고딕"/>
      <family val="2"/>
      <scheme val="minor"/>
    </font>
    <font>
      <u/>
      <sz val="11"/>
      <color theme="1"/>
      <name val="맑은 고딕"/>
      <family val="2"/>
      <scheme val="minor"/>
    </font>
    <font>
      <b/>
      <sz val="11"/>
      <color rgb="FF00B050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6">
    <xf numFmtId="0" fontId="0" fillId="0" borderId="0" xfId="0"/>
    <xf numFmtId="0" fontId="2" fillId="2" borderId="1" xfId="0" applyFont="1" applyFill="1" applyBorder="1"/>
    <xf numFmtId="0" fontId="0" fillId="2" borderId="2" xfId="0" applyFill="1" applyBorder="1"/>
    <xf numFmtId="0" fontId="2" fillId="2" borderId="3" xfId="0" applyFont="1" applyFill="1" applyBorder="1"/>
    <xf numFmtId="0" fontId="2" fillId="2" borderId="4" xfId="0" applyFont="1" applyFill="1" applyBorder="1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3" fontId="0" fillId="3" borderId="6" xfId="0" applyNumberFormat="1" applyFill="1" applyBorder="1"/>
    <xf numFmtId="9" fontId="0" fillId="3" borderId="0" xfId="0" applyNumberFormat="1" applyFill="1"/>
    <xf numFmtId="3" fontId="0" fillId="2" borderId="6" xfId="0" applyNumberFormat="1" applyFill="1" applyBorder="1"/>
    <xf numFmtId="0" fontId="0" fillId="2" borderId="7" xfId="0" applyFill="1" applyBorder="1"/>
    <xf numFmtId="3" fontId="2" fillId="2" borderId="8" xfId="0" applyNumberFormat="1" applyFont="1" applyFill="1" applyBorder="1"/>
    <xf numFmtId="0" fontId="0" fillId="2" borderId="9" xfId="0" applyFill="1" applyBorder="1"/>
    <xf numFmtId="0" fontId="2" fillId="2" borderId="10" xfId="0" applyFont="1" applyFill="1" applyBorder="1"/>
    <xf numFmtId="3" fontId="2" fillId="2" borderId="11" xfId="0" applyNumberFormat="1" applyFont="1" applyFill="1" applyBorder="1"/>
    <xf numFmtId="0" fontId="0" fillId="4" borderId="2" xfId="0" applyFill="1" applyBorder="1"/>
    <xf numFmtId="0" fontId="2" fillId="4" borderId="3" xfId="0" applyFont="1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/>
    <xf numFmtId="0" fontId="0" fillId="4" borderId="6" xfId="0" applyFill="1" applyBorder="1"/>
    <xf numFmtId="0" fontId="0" fillId="3" borderId="6" xfId="0" applyFill="1" applyBorder="1"/>
    <xf numFmtId="0" fontId="0" fillId="4" borderId="6" xfId="0" applyFill="1" applyBorder="1" applyAlignment="1">
      <alignment horizontal="right"/>
    </xf>
    <xf numFmtId="0" fontId="0" fillId="4" borderId="12" xfId="0" applyFill="1" applyBorder="1"/>
    <xf numFmtId="0" fontId="0" fillId="4" borderId="13" xfId="0" applyFill="1" applyBorder="1"/>
    <xf numFmtId="0" fontId="0" fillId="5" borderId="2" xfId="0" applyFill="1" applyBorder="1"/>
    <xf numFmtId="0" fontId="2" fillId="5" borderId="3" xfId="0" applyFont="1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0" xfId="0" applyFill="1"/>
    <xf numFmtId="0" fontId="0" fillId="5" borderId="12" xfId="0" applyFill="1" applyBorder="1"/>
    <xf numFmtId="0" fontId="0" fillId="5" borderId="13" xfId="0" applyFill="1" applyBorder="1"/>
    <xf numFmtId="0" fontId="0" fillId="7" borderId="2" xfId="0" applyFill="1" applyBorder="1"/>
    <xf numFmtId="0" fontId="2" fillId="7" borderId="3" xfId="0" applyFont="1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5" xfId="0" applyFill="1" applyBorder="1"/>
    <xf numFmtId="0" fontId="0" fillId="7" borderId="0" xfId="0" applyFill="1"/>
    <xf numFmtId="0" fontId="0" fillId="7" borderId="6" xfId="0" applyFill="1" applyBorder="1"/>
    <xf numFmtId="3" fontId="0" fillId="7" borderId="6" xfId="0" applyNumberFormat="1" applyFill="1" applyBorder="1"/>
    <xf numFmtId="0" fontId="0" fillId="7" borderId="12" xfId="0" applyFill="1" applyBorder="1"/>
    <xf numFmtId="0" fontId="0" fillId="7" borderId="13" xfId="0" applyFill="1" applyBorder="1"/>
    <xf numFmtId="0" fontId="0" fillId="8" borderId="2" xfId="0" applyFill="1" applyBorder="1"/>
    <xf numFmtId="0" fontId="2" fillId="8" borderId="3" xfId="0" applyFont="1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0" xfId="0" applyFill="1"/>
    <xf numFmtId="0" fontId="0" fillId="8" borderId="6" xfId="0" applyFill="1" applyBorder="1"/>
    <xf numFmtId="0" fontId="0" fillId="8" borderId="12" xfId="0" applyFill="1" applyBorder="1"/>
    <xf numFmtId="0" fontId="0" fillId="8" borderId="13" xfId="0" applyFill="1" applyBorder="1"/>
    <xf numFmtId="10" fontId="0" fillId="3" borderId="6" xfId="1" applyNumberFormat="1" applyFont="1" applyFill="1" applyBorder="1"/>
    <xf numFmtId="10" fontId="3" fillId="6" borderId="6" xfId="0" applyNumberFormat="1" applyFont="1" applyFill="1" applyBorder="1"/>
    <xf numFmtId="0" fontId="0" fillId="4" borderId="14" xfId="0" applyFill="1" applyBorder="1" applyAlignment="1">
      <alignment horizontal="right"/>
    </xf>
    <xf numFmtId="0" fontId="3" fillId="6" borderId="6" xfId="0" applyFont="1" applyFill="1" applyBorder="1"/>
    <xf numFmtId="0" fontId="0" fillId="5" borderId="14" xfId="0" applyFill="1" applyBorder="1"/>
    <xf numFmtId="0" fontId="0" fillId="7" borderId="14" xfId="0" applyFill="1" applyBorder="1"/>
    <xf numFmtId="3" fontId="3" fillId="6" borderId="6" xfId="0" applyNumberFormat="1" applyFont="1" applyFill="1" applyBorder="1"/>
    <xf numFmtId="0" fontId="0" fillId="8" borderId="14" xfId="0" applyFill="1" applyBorder="1"/>
    <xf numFmtId="0" fontId="2" fillId="4" borderId="0" xfId="0" applyFont="1" applyFill="1"/>
    <xf numFmtId="14" fontId="0" fillId="4" borderId="6" xfId="0" applyNumberFormat="1" applyFill="1" applyBorder="1"/>
    <xf numFmtId="14" fontId="0" fillId="5" borderId="6" xfId="0" applyNumberFormat="1" applyFill="1" applyBorder="1"/>
    <xf numFmtId="0" fontId="0" fillId="9" borderId="0" xfId="0" applyFill="1"/>
    <xf numFmtId="0" fontId="2" fillId="9" borderId="0" xfId="0" applyFont="1" applyFill="1" applyAlignment="1">
      <alignment horizontal="right"/>
    </xf>
    <xf numFmtId="14" fontId="0" fillId="9" borderId="0" xfId="0" applyNumberFormat="1" applyFill="1"/>
    <xf numFmtId="0" fontId="2" fillId="10" borderId="2" xfId="0" applyFont="1" applyFill="1" applyBorder="1" applyAlignment="1">
      <alignment horizontal="right"/>
    </xf>
    <xf numFmtId="0" fontId="2" fillId="10" borderId="4" xfId="0" applyFont="1" applyFill="1" applyBorder="1" applyAlignment="1">
      <alignment horizontal="right"/>
    </xf>
    <xf numFmtId="3" fontId="0" fillId="10" borderId="6" xfId="0" applyNumberFormat="1" applyFill="1" applyBorder="1"/>
    <xf numFmtId="3" fontId="0" fillId="10" borderId="14" xfId="0" applyNumberFormat="1" applyFill="1" applyBorder="1"/>
    <xf numFmtId="10" fontId="0" fillId="10" borderId="5" xfId="0" applyNumberFormat="1" applyFill="1" applyBorder="1"/>
    <xf numFmtId="0" fontId="7" fillId="9" borderId="2" xfId="0" applyFont="1" applyFill="1" applyBorder="1"/>
    <xf numFmtId="0" fontId="0" fillId="9" borderId="4" xfId="0" applyFill="1" applyBorder="1"/>
    <xf numFmtId="0" fontId="0" fillId="11" borderId="5" xfId="0" applyFill="1" applyBorder="1"/>
    <xf numFmtId="0" fontId="0" fillId="9" borderId="6" xfId="0" applyFill="1" applyBorder="1"/>
    <xf numFmtId="0" fontId="3" fillId="6" borderId="12" xfId="0" applyFont="1" applyFill="1" applyBorder="1"/>
    <xf numFmtId="0" fontId="0" fillId="9" borderId="14" xfId="0" applyFill="1" applyBorder="1"/>
    <xf numFmtId="3" fontId="0" fillId="5" borderId="6" xfId="0" applyNumberFormat="1" applyFill="1" applyBorder="1"/>
    <xf numFmtId="0" fontId="2" fillId="7" borderId="2" xfId="0" applyFont="1" applyFill="1" applyBorder="1" applyAlignment="1">
      <alignment horizontal="right"/>
    </xf>
    <xf numFmtId="0" fontId="6" fillId="7" borderId="3" xfId="0" applyFont="1" applyFill="1" applyBorder="1" applyAlignment="1">
      <alignment horizontal="right"/>
    </xf>
    <xf numFmtId="0" fontId="6" fillId="7" borderId="10" xfId="0" applyFont="1" applyFill="1" applyBorder="1" applyAlignment="1">
      <alignment horizontal="right" vertical="center"/>
    </xf>
    <xf numFmtId="0" fontId="6" fillId="7" borderId="11" xfId="0" applyFont="1" applyFill="1" applyBorder="1" applyAlignment="1">
      <alignment horizontal="right" vertical="center"/>
    </xf>
    <xf numFmtId="3" fontId="0" fillId="7" borderId="5" xfId="0" applyNumberFormat="1" applyFill="1" applyBorder="1"/>
    <xf numFmtId="3" fontId="6" fillId="7" borderId="0" xfId="0" applyNumberFormat="1" applyFont="1" applyFill="1"/>
    <xf numFmtId="3" fontId="6" fillId="7" borderId="6" xfId="0" applyNumberFormat="1" applyFont="1" applyFill="1" applyBorder="1"/>
    <xf numFmtId="0" fontId="2" fillId="8" borderId="21" xfId="0" applyFont="1" applyFill="1" applyBorder="1" applyAlignment="1">
      <alignment horizontal="right" vertical="center"/>
    </xf>
    <xf numFmtId="3" fontId="0" fillId="8" borderId="22" xfId="0" applyNumberFormat="1" applyFill="1" applyBorder="1"/>
    <xf numFmtId="14" fontId="0" fillId="2" borderId="10" xfId="0" applyNumberFormat="1" applyFill="1" applyBorder="1"/>
    <xf numFmtId="0" fontId="0" fillId="2" borderId="11" xfId="0" applyFill="1" applyBorder="1"/>
    <xf numFmtId="3" fontId="0" fillId="2" borderId="9" xfId="0" applyNumberFormat="1" applyFill="1" applyBorder="1"/>
    <xf numFmtId="0" fontId="6" fillId="2" borderId="10" xfId="0" applyFont="1" applyFill="1" applyBorder="1"/>
    <xf numFmtId="3" fontId="6" fillId="2" borderId="10" xfId="0" applyNumberFormat="1" applyFont="1" applyFill="1" applyBorder="1"/>
    <xf numFmtId="3" fontId="6" fillId="2" borderId="11" xfId="0" applyNumberFormat="1" applyFont="1" applyFill="1" applyBorder="1"/>
    <xf numFmtId="3" fontId="0" fillId="2" borderId="21" xfId="0" applyNumberFormat="1" applyFill="1" applyBorder="1"/>
    <xf numFmtId="3" fontId="0" fillId="2" borderId="10" xfId="0" applyNumberFormat="1" applyFill="1" applyBorder="1"/>
    <xf numFmtId="0" fontId="0" fillId="2" borderId="10" xfId="0" applyFill="1" applyBorder="1"/>
    <xf numFmtId="0" fontId="2" fillId="5" borderId="13" xfId="0" applyFont="1" applyFill="1" applyBorder="1" applyAlignment="1">
      <alignment horizontal="right" vertical="center"/>
    </xf>
    <xf numFmtId="0" fontId="2" fillId="12" borderId="15" xfId="0" applyFont="1" applyFill="1" applyBorder="1"/>
    <xf numFmtId="0" fontId="0" fillId="12" borderId="16" xfId="0" applyFill="1" applyBorder="1"/>
    <xf numFmtId="0" fontId="0" fillId="12" borderId="17" xfId="0" applyFill="1" applyBorder="1"/>
    <xf numFmtId="176" fontId="4" fillId="12" borderId="18" xfId="1" applyNumberFormat="1" applyFont="1" applyFill="1" applyBorder="1"/>
    <xf numFmtId="0" fontId="0" fillId="12" borderId="19" xfId="0" applyFill="1" applyBorder="1"/>
    <xf numFmtId="10" fontId="4" fillId="12" borderId="20" xfId="1" applyNumberFormat="1" applyFont="1" applyFill="1" applyBorder="1"/>
    <xf numFmtId="0" fontId="2" fillId="12" borderId="21" xfId="0" applyFont="1" applyFill="1" applyBorder="1" applyAlignment="1">
      <alignment horizontal="right" vertical="center"/>
    </xf>
    <xf numFmtId="3" fontId="0" fillId="12" borderId="22" xfId="0" applyNumberFormat="1" applyFill="1" applyBorder="1"/>
    <xf numFmtId="3" fontId="0" fillId="12" borderId="23" xfId="0" applyNumberFormat="1" applyFill="1" applyBorder="1"/>
    <xf numFmtId="0" fontId="0" fillId="9" borderId="15" xfId="0" applyFill="1" applyBorder="1"/>
    <xf numFmtId="0" fontId="0" fillId="9" borderId="24" xfId="0" applyFill="1" applyBorder="1"/>
    <xf numFmtId="0" fontId="0" fillId="9" borderId="16" xfId="0" applyFill="1" applyBorder="1"/>
    <xf numFmtId="0" fontId="0" fillId="9" borderId="17" xfId="0" applyFill="1" applyBorder="1"/>
    <xf numFmtId="0" fontId="8" fillId="9" borderId="0" xfId="0" applyFont="1" applyFill="1"/>
    <xf numFmtId="0" fontId="0" fillId="9" borderId="18" xfId="0" applyFill="1" applyBorder="1"/>
    <xf numFmtId="0" fontId="9" fillId="9" borderId="0" xfId="0" applyFont="1" applyFill="1" applyAlignment="1">
      <alignment horizontal="right"/>
    </xf>
    <xf numFmtId="0" fontId="0" fillId="9" borderId="10" xfId="0" applyFill="1" applyBorder="1"/>
    <xf numFmtId="3" fontId="0" fillId="12" borderId="21" xfId="0" applyNumberFormat="1" applyFill="1" applyBorder="1"/>
    <xf numFmtId="0" fontId="0" fillId="9" borderId="19" xfId="0" applyFill="1" applyBorder="1"/>
    <xf numFmtId="0" fontId="0" fillId="9" borderId="25" xfId="0" applyFill="1" applyBorder="1"/>
    <xf numFmtId="0" fontId="0" fillId="9" borderId="20" xfId="0" applyFill="1" applyBorder="1"/>
    <xf numFmtId="0" fontId="0" fillId="9" borderId="3" xfId="0" applyFill="1" applyBorder="1"/>
    <xf numFmtId="176" fontId="0" fillId="12" borderId="21" xfId="0" applyNumberFormat="1" applyFill="1" applyBorder="1"/>
    <xf numFmtId="0" fontId="0" fillId="9" borderId="13" xfId="0" applyFill="1" applyBorder="1"/>
    <xf numFmtId="177" fontId="0" fillId="12" borderId="21" xfId="0" applyNumberFormat="1" applyFill="1" applyBorder="1"/>
    <xf numFmtId="10" fontId="0" fillId="9" borderId="0" xfId="0" applyNumberFormat="1" applyFill="1"/>
    <xf numFmtId="0" fontId="5" fillId="9" borderId="21" xfId="0" applyFont="1" applyFill="1" applyBorder="1" applyAlignment="1">
      <alignment horizontal="center" vertical="center"/>
    </xf>
    <xf numFmtId="0" fontId="0" fillId="9" borderId="26" xfId="0" applyFill="1" applyBorder="1"/>
    <xf numFmtId="176" fontId="4" fillId="9" borderId="18" xfId="1" applyNumberFormat="1" applyFont="1" applyFill="1" applyBorder="1" applyAlignment="1">
      <alignment horizontal="right"/>
    </xf>
    <xf numFmtId="10" fontId="4" fillId="9" borderId="18" xfId="1" applyNumberFormat="1" applyFont="1" applyFill="1" applyBorder="1" applyAlignment="1">
      <alignment horizontal="right"/>
    </xf>
    <xf numFmtId="176" fontId="10" fillId="9" borderId="0" xfId="1" applyNumberFormat="1" applyFont="1" applyFill="1" applyBorder="1" applyAlignment="1">
      <alignment horizontal="right"/>
    </xf>
    <xf numFmtId="10" fontId="10" fillId="9" borderId="0" xfId="1" applyNumberFormat="1" applyFont="1" applyFill="1" applyBorder="1" applyAlignment="1">
      <alignment horizontal="right"/>
    </xf>
    <xf numFmtId="0" fontId="5" fillId="9" borderId="26" xfId="0" applyFont="1" applyFill="1" applyBorder="1" applyAlignment="1">
      <alignment horizontal="center" vertical="center" textRotation="255"/>
    </xf>
    <xf numFmtId="0" fontId="5" fillId="9" borderId="22" xfId="0" applyFont="1" applyFill="1" applyBorder="1" applyAlignment="1">
      <alignment horizontal="center" vertical="center" textRotation="255"/>
    </xf>
    <xf numFmtId="0" fontId="5" fillId="9" borderId="23" xfId="0" applyFont="1" applyFill="1" applyBorder="1" applyAlignment="1">
      <alignment horizontal="center" vertical="center" textRotation="255"/>
    </xf>
    <xf numFmtId="10" fontId="4" fillId="9" borderId="0" xfId="1" applyNumberFormat="1" applyFont="1" applyFill="1" applyBorder="1" applyAlignment="1">
      <alignment horizontal="center"/>
    </xf>
    <xf numFmtId="10" fontId="4" fillId="9" borderId="18" xfId="1" applyNumberFormat="1" applyFont="1" applyFill="1" applyBorder="1" applyAlignment="1">
      <alignment horizont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396240</xdr:colOff>
      <xdr:row>17</xdr:row>
      <xdr:rowOff>45720</xdr:rowOff>
    </xdr:from>
    <xdr:to>
      <xdr:col>6</xdr:col>
      <xdr:colOff>541020</xdr:colOff>
      <xdr:row>21</xdr:row>
      <xdr:rowOff>160020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>
          <a:off x="6667500" y="3169920"/>
          <a:ext cx="144780" cy="845820"/>
        </a:xfrm>
        <a:prstGeom prst="straightConnector1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190500</xdr:rowOff>
        </xdr:from>
        <xdr:to>
          <xdr:col>2</xdr:col>
          <xdr:colOff>1257300</xdr:colOff>
          <xdr:row>6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1381125</xdr:colOff>
          <xdr:row>3</xdr:row>
          <xdr:rowOff>190500</xdr:rowOff>
        </xdr:from>
        <xdr:to>
          <xdr:col>3</xdr:col>
          <xdr:colOff>466725</xdr:colOff>
          <xdr:row>6</xdr:row>
          <xdr:rowOff>28575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Restore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6</xdr:col>
      <xdr:colOff>0</xdr:colOff>
      <xdr:row>9</xdr:row>
      <xdr:rowOff>0</xdr:rowOff>
    </xdr:from>
    <xdr:to>
      <xdr:col>10</xdr:col>
      <xdr:colOff>67400</xdr:colOff>
      <xdr:row>22</xdr:row>
      <xdr:rowOff>178497</xdr:rowOff>
    </xdr:to>
    <xdr:pic>
      <xdr:nvPicPr>
        <xdr:cNvPr id="5" name="Multiple">
          <a:extLst>
            <a:ext uri="{FF2B5EF4-FFF2-40B4-BE49-F238E27FC236}">
              <a16:creationId xmlns:a16="http://schemas.microsoft.com/office/drawing/2014/main" id="{DD37A5D8-9764-F856-1E5C-5525369B66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3325" y="1866900"/>
          <a:ext cx="3934550" cy="28073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2B9CE-90A9-410D-86AB-509232F9F5C4}">
  <sheetPr codeName="Tabelle1"/>
  <dimension ref="A1:AF50"/>
  <sheetViews>
    <sheetView zoomScale="120" zoomScaleNormal="120" workbookViewId="0">
      <selection activeCell="B1" sqref="B1"/>
    </sheetView>
  </sheetViews>
  <sheetFormatPr defaultColWidth="11.5" defaultRowHeight="16.5" x14ac:dyDescent="0.3"/>
  <cols>
    <col min="1" max="1" width="2.25" customWidth="1"/>
    <col min="2" max="2" width="32.125" customWidth="1"/>
    <col min="3" max="3" width="7.5" customWidth="1"/>
    <col min="4" max="4" width="13" bestFit="1" customWidth="1"/>
    <col min="5" max="5" width="11.5" style="65"/>
    <col min="6" max="6" width="25.125" style="65" customWidth="1"/>
    <col min="7" max="32" width="11.5" style="65"/>
  </cols>
  <sheetData>
    <row r="1" spans="1:7" s="65" customFormat="1" x14ac:dyDescent="0.3"/>
    <row r="2" spans="1:7" x14ac:dyDescent="0.3">
      <c r="A2" s="2"/>
      <c r="B2" s="3" t="s">
        <v>8</v>
      </c>
      <c r="C2" s="3"/>
      <c r="D2" s="4"/>
    </row>
    <row r="3" spans="1:7" x14ac:dyDescent="0.3">
      <c r="A3" s="5"/>
      <c r="B3" s="6"/>
      <c r="C3" s="6"/>
      <c r="D3" s="7"/>
    </row>
    <row r="4" spans="1:7" x14ac:dyDescent="0.3">
      <c r="A4" s="5"/>
      <c r="B4" s="6" t="s">
        <v>0</v>
      </c>
      <c r="C4" s="6"/>
      <c r="D4" s="8">
        <v>100000000</v>
      </c>
    </row>
    <row r="5" spans="1:7" x14ac:dyDescent="0.3">
      <c r="A5" s="5"/>
      <c r="B5" s="6" t="s">
        <v>1</v>
      </c>
      <c r="C5" s="9">
        <v>0.02</v>
      </c>
      <c r="D5" s="10">
        <f>D4*C5</f>
        <v>2000000</v>
      </c>
    </row>
    <row r="6" spans="1:7" x14ac:dyDescent="0.3">
      <c r="A6" s="5"/>
      <c r="B6" s="6" t="s">
        <v>2</v>
      </c>
      <c r="C6" s="9">
        <v>0.03</v>
      </c>
      <c r="D6" s="10">
        <f>D4*C6</f>
        <v>3000000</v>
      </c>
    </row>
    <row r="7" spans="1:7" x14ac:dyDescent="0.3">
      <c r="A7" s="5"/>
      <c r="B7" s="6" t="s">
        <v>3</v>
      </c>
      <c r="C7" s="6"/>
      <c r="D7" s="8">
        <v>250000</v>
      </c>
    </row>
    <row r="8" spans="1:7" ht="17.25" thickBot="1" x14ac:dyDescent="0.35">
      <c r="A8" s="11"/>
      <c r="B8" s="1" t="s">
        <v>4</v>
      </c>
      <c r="C8" s="1"/>
      <c r="D8" s="12">
        <f>SUM(D4:D7)</f>
        <v>105250000</v>
      </c>
    </row>
    <row r="9" spans="1:7" ht="17.25" thickTop="1" x14ac:dyDescent="0.3">
      <c r="A9" s="5"/>
      <c r="B9" s="6"/>
      <c r="C9" s="6"/>
      <c r="D9" s="7"/>
    </row>
    <row r="10" spans="1:7" x14ac:dyDescent="0.3">
      <c r="A10" s="5"/>
      <c r="B10" s="6" t="s">
        <v>5</v>
      </c>
      <c r="C10" s="9">
        <v>0.6</v>
      </c>
      <c r="D10" s="10">
        <f>D4*C10</f>
        <v>60000000</v>
      </c>
    </row>
    <row r="11" spans="1:7" x14ac:dyDescent="0.3">
      <c r="A11" s="5"/>
      <c r="B11" s="6" t="s">
        <v>39</v>
      </c>
      <c r="C11" s="6"/>
      <c r="D11" s="10">
        <f>D8-D10</f>
        <v>45250000</v>
      </c>
    </row>
    <row r="12" spans="1:7" x14ac:dyDescent="0.3">
      <c r="A12" s="13"/>
      <c r="B12" s="14" t="s">
        <v>6</v>
      </c>
      <c r="C12" s="14"/>
      <c r="D12" s="15">
        <f>SUM(D10:D11)</f>
        <v>105250000</v>
      </c>
    </row>
    <row r="13" spans="1:7" s="65" customFormat="1" x14ac:dyDescent="0.3"/>
    <row r="14" spans="1:7" x14ac:dyDescent="0.3">
      <c r="A14" s="16"/>
      <c r="B14" s="17" t="s">
        <v>7</v>
      </c>
      <c r="C14" s="18"/>
      <c r="D14" s="19"/>
    </row>
    <row r="15" spans="1:7" x14ac:dyDescent="0.3">
      <c r="A15" s="20"/>
      <c r="B15" s="62"/>
      <c r="C15" s="21"/>
      <c r="D15" s="22"/>
      <c r="F15" s="73" t="s">
        <v>40</v>
      </c>
      <c r="G15" s="74"/>
    </row>
    <row r="16" spans="1:7" x14ac:dyDescent="0.3">
      <c r="A16" s="20"/>
      <c r="B16" s="21" t="s">
        <v>24</v>
      </c>
      <c r="C16" s="21"/>
      <c r="D16" s="63">
        <v>44197</v>
      </c>
      <c r="F16" s="75" t="s">
        <v>41</v>
      </c>
      <c r="G16" s="76"/>
    </row>
    <row r="17" spans="1:7" x14ac:dyDescent="0.3">
      <c r="A17" s="20"/>
      <c r="B17" s="21" t="s">
        <v>9</v>
      </c>
      <c r="C17" s="21">
        <f>D4/D17</f>
        <v>25</v>
      </c>
      <c r="D17" s="8">
        <v>4000000</v>
      </c>
      <c r="F17" s="77" t="s">
        <v>42</v>
      </c>
      <c r="G17" s="78" t="s">
        <v>43</v>
      </c>
    </row>
    <row r="18" spans="1:7" x14ac:dyDescent="0.3">
      <c r="A18" s="20"/>
      <c r="B18" s="21" t="s">
        <v>10</v>
      </c>
      <c r="C18" s="21"/>
      <c r="D18" s="23">
        <v>20</v>
      </c>
    </row>
    <row r="19" spans="1:7" x14ac:dyDescent="0.3">
      <c r="A19" s="20"/>
      <c r="B19" s="21" t="s">
        <v>11</v>
      </c>
      <c r="C19" s="21"/>
      <c r="D19" s="24" t="s">
        <v>12</v>
      </c>
    </row>
    <row r="20" spans="1:7" x14ac:dyDescent="0.3">
      <c r="A20" s="20"/>
      <c r="B20" s="21" t="s">
        <v>13</v>
      </c>
      <c r="C20" s="21"/>
      <c r="D20" s="55">
        <v>2.5000000000000001E-2</v>
      </c>
    </row>
    <row r="21" spans="1:7" x14ac:dyDescent="0.3">
      <c r="A21" s="25"/>
      <c r="B21" s="26"/>
      <c r="C21" s="26"/>
      <c r="D21" s="56"/>
    </row>
    <row r="22" spans="1:7" s="65" customFormat="1" ht="17.25" thickBot="1" x14ac:dyDescent="0.35"/>
    <row r="23" spans="1:7" x14ac:dyDescent="0.3">
      <c r="A23" s="27"/>
      <c r="B23" s="28" t="s">
        <v>14</v>
      </c>
      <c r="C23" s="29"/>
      <c r="D23" s="30"/>
      <c r="F23" s="99" t="s">
        <v>34</v>
      </c>
      <c r="G23" s="100"/>
    </row>
    <row r="24" spans="1:7" x14ac:dyDescent="0.3">
      <c r="A24" s="31"/>
      <c r="B24" s="32" t="s">
        <v>29</v>
      </c>
      <c r="C24" s="32"/>
      <c r="D24" s="64">
        <v>47848</v>
      </c>
      <c r="F24" s="101" t="s">
        <v>33</v>
      </c>
      <c r="G24" s="102">
        <f>SUM(Calc!J3:J13)/-Calc!J2</f>
        <v>1.8127427632781679</v>
      </c>
    </row>
    <row r="25" spans="1:7" ht="17.25" thickBot="1" x14ac:dyDescent="0.35">
      <c r="A25" s="31"/>
      <c r="B25" s="32" t="s">
        <v>15</v>
      </c>
      <c r="C25" s="32"/>
      <c r="D25" s="57">
        <v>22.514343110585909</v>
      </c>
      <c r="F25" s="103" t="s">
        <v>37</v>
      </c>
      <c r="G25" s="104">
        <f>XIRR(Calc!J2:J13,Calc!A2:A13)</f>
        <v>6.5380141139030457E-2</v>
      </c>
    </row>
    <row r="26" spans="1:7" x14ac:dyDescent="0.3">
      <c r="A26" s="31"/>
      <c r="B26" s="32"/>
      <c r="C26" s="32"/>
      <c r="D26" s="79"/>
    </row>
    <row r="27" spans="1:7" x14ac:dyDescent="0.3">
      <c r="A27" s="33"/>
      <c r="B27" s="34"/>
      <c r="C27" s="34"/>
      <c r="D27" s="58"/>
    </row>
    <row r="28" spans="1:7" s="65" customFormat="1" x14ac:dyDescent="0.3"/>
    <row r="29" spans="1:7" x14ac:dyDescent="0.3">
      <c r="A29" s="35"/>
      <c r="B29" s="36" t="s">
        <v>16</v>
      </c>
      <c r="C29" s="37"/>
      <c r="D29" s="38"/>
    </row>
    <row r="30" spans="1:7" x14ac:dyDescent="0.3">
      <c r="A30" s="39"/>
      <c r="B30" s="40"/>
      <c r="C30" s="40"/>
      <c r="D30" s="41"/>
    </row>
    <row r="31" spans="1:7" x14ac:dyDescent="0.3">
      <c r="A31" s="39"/>
      <c r="B31" s="40" t="s">
        <v>17</v>
      </c>
      <c r="C31" s="40"/>
      <c r="D31" s="42">
        <f>D10</f>
        <v>60000000</v>
      </c>
    </row>
    <row r="32" spans="1:7" x14ac:dyDescent="0.3">
      <c r="A32" s="39"/>
      <c r="B32" s="40" t="s">
        <v>21</v>
      </c>
      <c r="C32" s="40"/>
      <c r="D32" s="23">
        <v>10</v>
      </c>
    </row>
    <row r="33" spans="1:4" x14ac:dyDescent="0.3">
      <c r="A33" s="39"/>
      <c r="B33" s="40" t="s">
        <v>18</v>
      </c>
      <c r="C33" s="40"/>
      <c r="D33" s="8">
        <v>45000000</v>
      </c>
    </row>
    <row r="34" spans="1:4" x14ac:dyDescent="0.3">
      <c r="A34" s="39"/>
      <c r="B34" s="40" t="s">
        <v>19</v>
      </c>
      <c r="C34" s="40"/>
      <c r="D34" s="54">
        <v>0.03</v>
      </c>
    </row>
    <row r="35" spans="1:4" x14ac:dyDescent="0.3">
      <c r="A35" s="39"/>
      <c r="B35" s="40" t="s">
        <v>20</v>
      </c>
      <c r="C35" s="40"/>
      <c r="D35" s="42">
        <f>PMT(D34,D32,-D31,D33)</f>
        <v>3108457.5990773938</v>
      </c>
    </row>
    <row r="36" spans="1:4" x14ac:dyDescent="0.3">
      <c r="A36" s="43"/>
      <c r="B36" s="44"/>
      <c r="C36" s="44"/>
      <c r="D36" s="59"/>
    </row>
    <row r="37" spans="1:4" s="65" customFormat="1" x14ac:dyDescent="0.3"/>
    <row r="38" spans="1:4" x14ac:dyDescent="0.3">
      <c r="A38" s="45"/>
      <c r="B38" s="46" t="s">
        <v>22</v>
      </c>
      <c r="C38" s="47"/>
      <c r="D38" s="48"/>
    </row>
    <row r="39" spans="1:4" x14ac:dyDescent="0.3">
      <c r="A39" s="49"/>
      <c r="B39" s="50"/>
      <c r="C39" s="50"/>
      <c r="D39" s="51"/>
    </row>
    <row r="40" spans="1:4" x14ac:dyDescent="0.3">
      <c r="A40" s="49"/>
      <c r="B40" s="50" t="s">
        <v>23</v>
      </c>
      <c r="C40" s="50"/>
      <c r="D40" s="60">
        <v>250000</v>
      </c>
    </row>
    <row r="41" spans="1:4" x14ac:dyDescent="0.3">
      <c r="A41" s="52"/>
      <c r="B41" s="53"/>
      <c r="C41" s="53"/>
      <c r="D41" s="61"/>
    </row>
    <row r="42" spans="1:4" s="65" customFormat="1" x14ac:dyDescent="0.3"/>
    <row r="43" spans="1:4" s="65" customFormat="1" x14ac:dyDescent="0.3"/>
    <row r="44" spans="1:4" s="65" customFormat="1" x14ac:dyDescent="0.3"/>
    <row r="45" spans="1:4" s="65" customFormat="1" x14ac:dyDescent="0.3"/>
    <row r="46" spans="1:4" s="65" customFormat="1" x14ac:dyDescent="0.3"/>
    <row r="47" spans="1:4" s="65" customFormat="1" x14ac:dyDescent="0.3"/>
    <row r="48" spans="1:4" s="65" customFormat="1" x14ac:dyDescent="0.3"/>
    <row r="49" s="65" customFormat="1" x14ac:dyDescent="0.3"/>
    <row r="50" s="65" customFormat="1" x14ac:dyDescent="0.3"/>
  </sheetData>
  <phoneticPr fontId="11" type="noConversion"/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59526-F77D-4B0A-8BF8-9352F1F3B38E}">
  <sheetPr codeName="Tabelle2"/>
  <dimension ref="A1:K21"/>
  <sheetViews>
    <sheetView zoomScale="120" zoomScaleNormal="120" workbookViewId="0">
      <selection activeCell="G13" sqref="G13"/>
    </sheetView>
  </sheetViews>
  <sheetFormatPr defaultColWidth="11.5" defaultRowHeight="16.5" x14ac:dyDescent="0.3"/>
  <cols>
    <col min="1" max="1" width="12.75" style="65" customWidth="1"/>
    <col min="2" max="3" width="11.5" style="65"/>
    <col min="4" max="7" width="19.5" style="65" customWidth="1"/>
    <col min="8" max="8" width="19" style="65" customWidth="1"/>
    <col min="9" max="9" width="16.875" style="65" customWidth="1"/>
    <col min="10" max="10" width="20.125" style="65" customWidth="1"/>
    <col min="11" max="16384" width="11.5" style="65"/>
  </cols>
  <sheetData>
    <row r="1" spans="1:11" x14ac:dyDescent="0.3">
      <c r="A1" s="66" t="s">
        <v>25</v>
      </c>
      <c r="B1" s="68" t="s">
        <v>12</v>
      </c>
      <c r="C1" s="69" t="s">
        <v>26</v>
      </c>
      <c r="D1" s="80" t="s">
        <v>44</v>
      </c>
      <c r="E1" s="81" t="s">
        <v>28</v>
      </c>
      <c r="F1" s="82" t="s">
        <v>30</v>
      </c>
      <c r="G1" s="83" t="s">
        <v>31</v>
      </c>
      <c r="H1" s="87" t="s">
        <v>27</v>
      </c>
      <c r="I1" s="98" t="s">
        <v>38</v>
      </c>
      <c r="J1" s="105" t="s">
        <v>32</v>
      </c>
      <c r="K1" s="126"/>
    </row>
    <row r="2" spans="1:11" x14ac:dyDescent="0.3">
      <c r="A2" s="89">
        <f>Input!D16</f>
        <v>44197</v>
      </c>
      <c r="B2" s="13"/>
      <c r="C2" s="90"/>
      <c r="D2" s="91">
        <f>Input!D31</f>
        <v>60000000</v>
      </c>
      <c r="E2" s="92"/>
      <c r="F2" s="93"/>
      <c r="G2" s="94">
        <f>Input!D31</f>
        <v>60000000</v>
      </c>
      <c r="H2" s="95">
        <f>-(Input!D5+Input!D6+Input!D7)</f>
        <v>-5250000</v>
      </c>
      <c r="I2" s="96">
        <f>-Input!D4</f>
        <v>-100000000</v>
      </c>
      <c r="J2" s="95">
        <f>C2+D2+H2+I2</f>
        <v>-45250000</v>
      </c>
      <c r="K2" s="125" t="s">
        <v>35</v>
      </c>
    </row>
    <row r="3" spans="1:11" x14ac:dyDescent="0.3">
      <c r="A3" s="67">
        <v>44561</v>
      </c>
      <c r="B3" s="72">
        <v>2.9001096189008264E-2</v>
      </c>
      <c r="C3" s="70">
        <f>Input!D17</f>
        <v>4000000</v>
      </c>
      <c r="D3" s="84">
        <f>-Input!$D$35</f>
        <v>-3108457.5990773938</v>
      </c>
      <c r="E3" s="85">
        <f>-G2*Input!$D$34</f>
        <v>-1800000</v>
      </c>
      <c r="F3" s="85">
        <f t="shared" ref="F3:F12" si="0">D3-E3</f>
        <v>-1308457.5990773938</v>
      </c>
      <c r="G3" s="86">
        <f t="shared" ref="G3:G13" si="1">G2+F3</f>
        <v>58691542.400922604</v>
      </c>
      <c r="H3" s="88">
        <v>-311094.92398222984</v>
      </c>
      <c r="I3" s="32"/>
      <c r="J3" s="106">
        <f t="shared" ref="J3:J12" si="2">MAX(0, C3+D3+H3+I3)</f>
        <v>580447.47694037645</v>
      </c>
      <c r="K3" s="131" t="s">
        <v>36</v>
      </c>
    </row>
    <row r="4" spans="1:11" x14ac:dyDescent="0.3">
      <c r="A4" s="67">
        <f t="shared" ref="A4:A12" si="3">EDATE(A3,12)</f>
        <v>44926</v>
      </c>
      <c r="B4" s="72">
        <v>2.9941050209892513E-2</v>
      </c>
      <c r="C4" s="70">
        <f>C3*(1+B3)</f>
        <v>4116004.3847560333</v>
      </c>
      <c r="D4" s="84">
        <f>-Input!$D$35</f>
        <v>-3108457.5990773938</v>
      </c>
      <c r="E4" s="85">
        <f>-G3*Input!$D$34</f>
        <v>-1760746.2720276781</v>
      </c>
      <c r="F4" s="85">
        <f t="shared" si="0"/>
        <v>-1347711.3270497157</v>
      </c>
      <c r="G4" s="86">
        <f t="shared" si="1"/>
        <v>57343831.073872887</v>
      </c>
      <c r="H4" s="88">
        <v>-212336.58250145838</v>
      </c>
      <c r="I4" s="32"/>
      <c r="J4" s="106">
        <f t="shared" si="2"/>
        <v>795210.20317718119</v>
      </c>
      <c r="K4" s="132"/>
    </row>
    <row r="5" spans="1:11" x14ac:dyDescent="0.3">
      <c r="A5" s="67">
        <f t="shared" si="3"/>
        <v>45291</v>
      </c>
      <c r="B5" s="72">
        <v>2.1656669800649279E-2</v>
      </c>
      <c r="C5" s="70">
        <f t="shared" ref="C5:C12" si="4">C4*(1+B4)</f>
        <v>4239241.8787041511</v>
      </c>
      <c r="D5" s="84">
        <f>-Input!$D$35</f>
        <v>-3108457.5990773938</v>
      </c>
      <c r="E5" s="85">
        <f>-G4*Input!$D$34</f>
        <v>-1720314.9322161865</v>
      </c>
      <c r="F5" s="85">
        <f t="shared" si="0"/>
        <v>-1388142.6668612072</v>
      </c>
      <c r="G5" s="86">
        <f t="shared" si="1"/>
        <v>55955688.40701168</v>
      </c>
      <c r="H5" s="88">
        <v>-336458.08018175495</v>
      </c>
      <c r="I5" s="32"/>
      <c r="J5" s="106">
        <f t="shared" si="2"/>
        <v>794326.19944500248</v>
      </c>
      <c r="K5" s="132"/>
    </row>
    <row r="6" spans="1:11" x14ac:dyDescent="0.3">
      <c r="A6" s="67">
        <f t="shared" si="3"/>
        <v>45657</v>
      </c>
      <c r="B6" s="72">
        <v>3.806145215097629E-2</v>
      </c>
      <c r="C6" s="70">
        <f t="shared" si="4"/>
        <v>4331049.7402763311</v>
      </c>
      <c r="D6" s="84">
        <f>-Input!$D$35</f>
        <v>-3108457.5990773938</v>
      </c>
      <c r="E6" s="85">
        <f>-G5*Input!$D$34</f>
        <v>-1678670.6522103504</v>
      </c>
      <c r="F6" s="85">
        <f t="shared" si="0"/>
        <v>-1429786.9468670434</v>
      </c>
      <c r="G6" s="86">
        <f t="shared" si="1"/>
        <v>54525901.460144639</v>
      </c>
      <c r="H6" s="88">
        <v>-216578.55660644837</v>
      </c>
      <c r="I6" s="32"/>
      <c r="J6" s="106">
        <f t="shared" si="2"/>
        <v>1006013.5845924889</v>
      </c>
      <c r="K6" s="132"/>
    </row>
    <row r="7" spans="1:11" x14ac:dyDescent="0.3">
      <c r="A7" s="67">
        <f t="shared" si="3"/>
        <v>46022</v>
      </c>
      <c r="B7" s="72">
        <v>7.9473586985046307E-3</v>
      </c>
      <c r="C7" s="70">
        <f t="shared" si="4"/>
        <v>4495895.7827293575</v>
      </c>
      <c r="D7" s="84">
        <f>-Input!$D$35</f>
        <v>-3108457.5990773938</v>
      </c>
      <c r="E7" s="85">
        <f>-G6*Input!$D$34</f>
        <v>-1635777.0438043391</v>
      </c>
      <c r="F7" s="85">
        <f t="shared" si="0"/>
        <v>-1472680.5552730546</v>
      </c>
      <c r="G7" s="86">
        <f t="shared" si="1"/>
        <v>53053220.904871583</v>
      </c>
      <c r="H7" s="88">
        <v>-255476.5830730655</v>
      </c>
      <c r="I7" s="32"/>
      <c r="J7" s="106">
        <f t="shared" si="2"/>
        <v>1131961.6005788981</v>
      </c>
      <c r="K7" s="132"/>
    </row>
    <row r="8" spans="1:11" x14ac:dyDescent="0.3">
      <c r="A8" s="67">
        <f t="shared" si="3"/>
        <v>46387</v>
      </c>
      <c r="B8" s="72">
        <v>3.2156944627144364E-2</v>
      </c>
      <c r="C8" s="70">
        <f t="shared" si="4"/>
        <v>4531626.2791858017</v>
      </c>
      <c r="D8" s="84">
        <f>-Input!$D$35</f>
        <v>-3108457.5990773938</v>
      </c>
      <c r="E8" s="85">
        <f>-G7*Input!$D$34</f>
        <v>-1591596.6271461474</v>
      </c>
      <c r="F8" s="85">
        <f t="shared" si="0"/>
        <v>-1516860.9719312463</v>
      </c>
      <c r="G8" s="86">
        <f t="shared" si="1"/>
        <v>51536359.932940334</v>
      </c>
      <c r="H8" s="88">
        <v>-201560.68582383863</v>
      </c>
      <c r="I8" s="32"/>
      <c r="J8" s="106">
        <f t="shared" si="2"/>
        <v>1221607.9942845693</v>
      </c>
      <c r="K8" s="132"/>
    </row>
    <row r="9" spans="1:11" x14ac:dyDescent="0.3">
      <c r="A9" s="67">
        <f t="shared" si="3"/>
        <v>46752</v>
      </c>
      <c r="B9" s="72">
        <v>2.6082786376235598E-2</v>
      </c>
      <c r="C9" s="70">
        <f t="shared" si="4"/>
        <v>4677349.5345164919</v>
      </c>
      <c r="D9" s="84">
        <f>-Input!$D$35</f>
        <v>-3108457.5990773938</v>
      </c>
      <c r="E9" s="85">
        <f>-G8*Input!$D$34</f>
        <v>-1546090.7979882099</v>
      </c>
      <c r="F9" s="85">
        <f t="shared" si="0"/>
        <v>-1562366.8010891839</v>
      </c>
      <c r="G9" s="86">
        <f t="shared" si="1"/>
        <v>49973993.131851152</v>
      </c>
      <c r="H9" s="88">
        <v>-235685.03481432921</v>
      </c>
      <c r="I9" s="32"/>
      <c r="J9" s="106">
        <f t="shared" si="2"/>
        <v>1333206.900624769</v>
      </c>
      <c r="K9" s="132"/>
    </row>
    <row r="10" spans="1:11" x14ac:dyDescent="0.3">
      <c r="A10" s="67">
        <f t="shared" si="3"/>
        <v>47118</v>
      </c>
      <c r="B10" s="72">
        <v>-3.5608988980337583E-3</v>
      </c>
      <c r="C10" s="70">
        <f t="shared" si="4"/>
        <v>4799347.8432322703</v>
      </c>
      <c r="D10" s="84">
        <f>-Input!$D$35</f>
        <v>-3108457.5990773938</v>
      </c>
      <c r="E10" s="85">
        <f>-G9*Input!$D$34</f>
        <v>-1499219.7939555345</v>
      </c>
      <c r="F10" s="85">
        <f t="shared" si="0"/>
        <v>-1609237.8051218593</v>
      </c>
      <c r="G10" s="86">
        <f t="shared" si="1"/>
        <v>48364755.32672929</v>
      </c>
      <c r="H10" s="88">
        <v>-194954.6073596623</v>
      </c>
      <c r="I10" s="32"/>
      <c r="J10" s="106">
        <f t="shared" si="2"/>
        <v>1495935.6367952144</v>
      </c>
      <c r="K10" s="132"/>
    </row>
    <row r="11" spans="1:11" x14ac:dyDescent="0.3">
      <c r="A11" s="67">
        <f t="shared" si="3"/>
        <v>47483</v>
      </c>
      <c r="B11" s="72">
        <v>3.7138437237414522E-2</v>
      </c>
      <c r="C11" s="70">
        <f t="shared" si="4"/>
        <v>4782257.8507860238</v>
      </c>
      <c r="D11" s="84">
        <f>-Input!$D$35</f>
        <v>-3108457.5990773938</v>
      </c>
      <c r="E11" s="85">
        <f>-G10*Input!$D$34</f>
        <v>-1450942.6598018787</v>
      </c>
      <c r="F11" s="85">
        <f t="shared" si="0"/>
        <v>-1657514.939275515</v>
      </c>
      <c r="G11" s="86">
        <f t="shared" si="1"/>
        <v>46707240.387453772</v>
      </c>
      <c r="H11" s="88">
        <v>-199019.86165209973</v>
      </c>
      <c r="I11" s="32"/>
      <c r="J11" s="106">
        <f t="shared" si="2"/>
        <v>1474780.3900565302</v>
      </c>
      <c r="K11" s="132"/>
    </row>
    <row r="12" spans="1:11" x14ac:dyDescent="0.3">
      <c r="A12" s="67">
        <f t="shared" si="3"/>
        <v>47848</v>
      </c>
      <c r="B12" s="72">
        <v>3.4493859370741398E-2</v>
      </c>
      <c r="C12" s="71">
        <f t="shared" si="4"/>
        <v>4959863.4338305742</v>
      </c>
      <c r="D12" s="84">
        <f>-Input!$D$35</f>
        <v>-3108457.5990773938</v>
      </c>
      <c r="E12" s="85">
        <f>-G11*Input!$D$34</f>
        <v>-1401217.211623613</v>
      </c>
      <c r="F12" s="85">
        <f t="shared" si="0"/>
        <v>-1707240.3874537807</v>
      </c>
      <c r="G12" s="86">
        <f t="shared" si="1"/>
        <v>44999999.999999993</v>
      </c>
      <c r="H12" s="88">
        <v>-178215.51763760741</v>
      </c>
      <c r="I12" s="32"/>
      <c r="J12" s="107">
        <f t="shared" si="2"/>
        <v>1673190.317115573</v>
      </c>
      <c r="K12" s="133"/>
    </row>
    <row r="13" spans="1:11" x14ac:dyDescent="0.3">
      <c r="A13" s="89">
        <f>Input!D24</f>
        <v>47848</v>
      </c>
      <c r="B13" s="97"/>
      <c r="C13" s="97"/>
      <c r="D13" s="91">
        <f>F13</f>
        <v>-44999999.999999993</v>
      </c>
      <c r="E13" s="92"/>
      <c r="F13" s="93">
        <f>-MIN(G12, I13)</f>
        <v>-44999999.999999993</v>
      </c>
      <c r="G13" s="94">
        <f t="shared" si="1"/>
        <v>0</v>
      </c>
      <c r="H13" s="95"/>
      <c r="I13" s="95">
        <f>C12*(1+B12)*Input!D25</f>
        <v>115519929.73472647</v>
      </c>
      <c r="J13" s="95">
        <f>MAX(0, C13+D13+H13+I13)</f>
        <v>70519929.734726489</v>
      </c>
      <c r="K13" s="125" t="s">
        <v>14</v>
      </c>
    </row>
    <row r="21" spans="2:2" x14ac:dyDescent="0.3">
      <c r="B21" s="124"/>
    </row>
  </sheetData>
  <mergeCells count="1">
    <mergeCell ref="K3:K12"/>
  </mergeCells>
  <phoneticPr fontId="11" type="noConversion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8A24B-349C-44E0-8FA3-085706B5FAB0}">
  <sheetPr codeName="Sheet1"/>
  <dimension ref="A1:AW185"/>
  <sheetViews>
    <sheetView tabSelected="1" zoomScaleNormal="100" workbookViewId="0">
      <selection activeCell="C3" sqref="C3"/>
    </sheetView>
  </sheetViews>
  <sheetFormatPr defaultRowHeight="16.5" x14ac:dyDescent="0.3"/>
  <cols>
    <col min="1" max="1" width="2.75" style="65" customWidth="1"/>
    <col min="2" max="2" width="3.125" customWidth="1"/>
    <col min="3" max="3" width="28.5" customWidth="1"/>
    <col min="5" max="5" width="2.5" customWidth="1"/>
    <col min="6" max="6" width="3.25" style="65" customWidth="1"/>
    <col min="7" max="7" width="3.5" style="65" customWidth="1"/>
    <col min="8" max="8" width="24.5" style="65" customWidth="1"/>
    <col min="9" max="9" width="8.625" style="65" customWidth="1"/>
    <col min="10" max="10" width="14.125" style="65" customWidth="1"/>
    <col min="11" max="11" width="3.625" style="65" customWidth="1"/>
    <col min="12" max="49" width="8.875" style="65"/>
  </cols>
  <sheetData>
    <row r="1" spans="2:11" s="65" customFormat="1" ht="17.25" thickBot="1" x14ac:dyDescent="0.35"/>
    <row r="2" spans="2:11" ht="10.15" customHeight="1" x14ac:dyDescent="0.3">
      <c r="B2" s="108"/>
      <c r="C2" s="109"/>
      <c r="D2" s="109"/>
      <c r="E2" s="110"/>
      <c r="G2" s="108"/>
      <c r="H2" s="109"/>
      <c r="I2" s="109"/>
      <c r="J2" s="109"/>
      <c r="K2" s="110"/>
    </row>
    <row r="3" spans="2:11" ht="20.25" x14ac:dyDescent="0.35">
      <c r="B3" s="111"/>
      <c r="C3" s="112" t="s">
        <v>45</v>
      </c>
      <c r="D3" s="65"/>
      <c r="E3" s="113"/>
      <c r="G3" s="111"/>
      <c r="H3" s="112" t="s">
        <v>46</v>
      </c>
      <c r="K3" s="113"/>
    </row>
    <row r="4" spans="2:11" x14ac:dyDescent="0.3">
      <c r="B4" s="111"/>
      <c r="C4" s="65"/>
      <c r="D4" s="65"/>
      <c r="E4" s="113"/>
      <c r="G4" s="111"/>
      <c r="I4" s="114" t="s">
        <v>47</v>
      </c>
      <c r="J4" s="114" t="s">
        <v>48</v>
      </c>
      <c r="K4" s="113"/>
    </row>
    <row r="5" spans="2:11" x14ac:dyDescent="0.3">
      <c r="B5" s="111"/>
      <c r="C5" s="65"/>
      <c r="D5" s="65"/>
      <c r="E5" s="113"/>
      <c r="G5" s="111"/>
      <c r="H5" s="65" t="s">
        <v>33</v>
      </c>
      <c r="I5" s="129">
        <v>1.8575317862436742</v>
      </c>
      <c r="J5" s="129">
        <v>1.825964820935233</v>
      </c>
      <c r="K5" s="127"/>
    </row>
    <row r="6" spans="2:11" x14ac:dyDescent="0.3">
      <c r="B6" s="111"/>
      <c r="C6" s="65"/>
      <c r="D6" s="65"/>
      <c r="E6" s="113"/>
      <c r="G6" s="111"/>
      <c r="H6" s="65" t="s">
        <v>49</v>
      </c>
      <c r="I6" s="130">
        <v>6.6163882315158878E-2</v>
      </c>
      <c r="J6" s="130">
        <v>6.6038957238197332E-2</v>
      </c>
      <c r="K6" s="128"/>
    </row>
    <row r="7" spans="2:11" x14ac:dyDescent="0.3">
      <c r="B7" s="111"/>
      <c r="C7" s="65"/>
      <c r="D7" s="65"/>
      <c r="E7" s="113"/>
      <c r="G7" s="111"/>
      <c r="H7" s="65" t="s">
        <v>50</v>
      </c>
      <c r="I7" s="134">
        <v>0.01</v>
      </c>
      <c r="J7" s="134"/>
      <c r="K7" s="135"/>
    </row>
    <row r="8" spans="2:11" ht="17.25" thickBot="1" x14ac:dyDescent="0.35">
      <c r="B8" s="111"/>
      <c r="C8" s="115" t="s">
        <v>51</v>
      </c>
      <c r="D8" s="116">
        <v>100</v>
      </c>
      <c r="E8" s="113"/>
      <c r="G8" s="117"/>
      <c r="H8" s="118"/>
      <c r="I8" s="118"/>
      <c r="J8" s="118"/>
      <c r="K8" s="119"/>
    </row>
    <row r="9" spans="2:11" x14ac:dyDescent="0.3">
      <c r="B9" s="111"/>
      <c r="C9" s="65"/>
      <c r="D9" s="65"/>
      <c r="E9" s="113"/>
    </row>
    <row r="10" spans="2:11" x14ac:dyDescent="0.3">
      <c r="B10" s="111"/>
      <c r="C10" s="120" t="s">
        <v>52</v>
      </c>
      <c r="D10" s="120"/>
      <c r="E10" s="113"/>
    </row>
    <row r="11" spans="2:11" x14ac:dyDescent="0.3">
      <c r="B11" s="111"/>
      <c r="C11" s="65" t="s">
        <v>47</v>
      </c>
      <c r="D11" s="121">
        <v>2.5000000000000001E-2</v>
      </c>
      <c r="E11" s="113"/>
    </row>
    <row r="12" spans="2:11" x14ac:dyDescent="0.3">
      <c r="B12" s="111"/>
      <c r="C12" s="122" t="s">
        <v>53</v>
      </c>
      <c r="D12" s="121">
        <v>0.01</v>
      </c>
      <c r="E12" s="113"/>
    </row>
    <row r="13" spans="2:11" x14ac:dyDescent="0.3">
      <c r="B13" s="111"/>
      <c r="C13" s="65"/>
      <c r="D13" s="65"/>
      <c r="E13" s="113"/>
    </row>
    <row r="14" spans="2:11" x14ac:dyDescent="0.3">
      <c r="B14" s="111"/>
      <c r="C14" s="120" t="s">
        <v>54</v>
      </c>
      <c r="D14" s="120"/>
      <c r="E14" s="113"/>
    </row>
    <row r="15" spans="2:11" x14ac:dyDescent="0.3">
      <c r="B15" s="111"/>
      <c r="C15" s="65" t="s">
        <v>47</v>
      </c>
      <c r="D15" s="123">
        <v>23</v>
      </c>
      <c r="E15" s="113"/>
    </row>
    <row r="16" spans="2:11" x14ac:dyDescent="0.3">
      <c r="B16" s="111"/>
      <c r="C16" s="122" t="s">
        <v>53</v>
      </c>
      <c r="D16" s="123">
        <v>3</v>
      </c>
      <c r="E16" s="113"/>
    </row>
    <row r="17" spans="2:5" x14ac:dyDescent="0.3">
      <c r="B17" s="111"/>
      <c r="C17" s="65"/>
      <c r="D17" s="65"/>
      <c r="E17" s="113"/>
    </row>
    <row r="18" spans="2:5" x14ac:dyDescent="0.3">
      <c r="B18" s="111"/>
      <c r="C18" s="120" t="s">
        <v>55</v>
      </c>
      <c r="D18" s="120"/>
      <c r="E18" s="113"/>
    </row>
    <row r="19" spans="2:5" x14ac:dyDescent="0.3">
      <c r="B19" s="111"/>
      <c r="C19" s="65" t="s">
        <v>47</v>
      </c>
      <c r="D19" s="116">
        <v>250000</v>
      </c>
      <c r="E19" s="113"/>
    </row>
    <row r="20" spans="2:5" x14ac:dyDescent="0.3">
      <c r="B20" s="111"/>
      <c r="C20" s="122" t="s">
        <v>53</v>
      </c>
      <c r="D20" s="107">
        <v>50000</v>
      </c>
      <c r="E20" s="113"/>
    </row>
    <row r="21" spans="2:5" ht="9" customHeight="1" thickBot="1" x14ac:dyDescent="0.35">
      <c r="B21" s="117"/>
      <c r="C21" s="118"/>
      <c r="D21" s="118"/>
      <c r="E21" s="119"/>
    </row>
    <row r="22" spans="2:5" s="65" customFormat="1" x14ac:dyDescent="0.3"/>
    <row r="23" spans="2:5" s="65" customFormat="1" x14ac:dyDescent="0.3"/>
    <row r="24" spans="2:5" s="65" customFormat="1" x14ac:dyDescent="0.3"/>
    <row r="25" spans="2:5" s="65" customFormat="1" x14ac:dyDescent="0.3"/>
    <row r="26" spans="2:5" s="65" customFormat="1" x14ac:dyDescent="0.3"/>
    <row r="27" spans="2:5" s="65" customFormat="1" x14ac:dyDescent="0.3"/>
    <row r="28" spans="2:5" s="65" customFormat="1" x14ac:dyDescent="0.3"/>
    <row r="29" spans="2:5" s="65" customFormat="1" x14ac:dyDescent="0.3"/>
    <row r="30" spans="2:5" s="65" customFormat="1" x14ac:dyDescent="0.3"/>
    <row r="31" spans="2:5" s="65" customFormat="1" x14ac:dyDescent="0.3"/>
    <row r="32" spans="2:5" s="65" customFormat="1" x14ac:dyDescent="0.3"/>
    <row r="33" s="65" customFormat="1" x14ac:dyDescent="0.3"/>
    <row r="34" s="65" customFormat="1" x14ac:dyDescent="0.3"/>
    <row r="35" s="65" customFormat="1" x14ac:dyDescent="0.3"/>
    <row r="36" s="65" customFormat="1" x14ac:dyDescent="0.3"/>
    <row r="37" s="65" customFormat="1" x14ac:dyDescent="0.3"/>
    <row r="38" s="65" customFormat="1" x14ac:dyDescent="0.3"/>
    <row r="39" s="65" customFormat="1" x14ac:dyDescent="0.3"/>
    <row r="40" s="65" customFormat="1" x14ac:dyDescent="0.3"/>
    <row r="41" s="65" customFormat="1" x14ac:dyDescent="0.3"/>
    <row r="42" s="65" customFormat="1" x14ac:dyDescent="0.3"/>
    <row r="43" s="65" customFormat="1" x14ac:dyDescent="0.3"/>
    <row r="44" s="65" customFormat="1" x14ac:dyDescent="0.3"/>
    <row r="45" s="65" customFormat="1" x14ac:dyDescent="0.3"/>
    <row r="46" s="65" customFormat="1" x14ac:dyDescent="0.3"/>
    <row r="47" s="65" customFormat="1" x14ac:dyDescent="0.3"/>
    <row r="48" s="65" customFormat="1" x14ac:dyDescent="0.3"/>
    <row r="49" s="65" customFormat="1" x14ac:dyDescent="0.3"/>
    <row r="50" s="65" customFormat="1" x14ac:dyDescent="0.3"/>
    <row r="51" s="65" customFormat="1" x14ac:dyDescent="0.3"/>
    <row r="52" s="65" customFormat="1" x14ac:dyDescent="0.3"/>
    <row r="53" s="65" customFormat="1" x14ac:dyDescent="0.3"/>
    <row r="54" s="65" customFormat="1" x14ac:dyDescent="0.3"/>
    <row r="55" s="65" customFormat="1" x14ac:dyDescent="0.3"/>
    <row r="56" s="65" customFormat="1" x14ac:dyDescent="0.3"/>
    <row r="57" s="65" customFormat="1" x14ac:dyDescent="0.3"/>
    <row r="58" s="65" customFormat="1" x14ac:dyDescent="0.3"/>
    <row r="59" s="65" customFormat="1" x14ac:dyDescent="0.3"/>
    <row r="60" s="65" customFormat="1" x14ac:dyDescent="0.3"/>
    <row r="61" s="65" customFormat="1" x14ac:dyDescent="0.3"/>
    <row r="62" s="65" customFormat="1" x14ac:dyDescent="0.3"/>
    <row r="63" s="65" customFormat="1" x14ac:dyDescent="0.3"/>
    <row r="64" s="65" customFormat="1" x14ac:dyDescent="0.3"/>
    <row r="65" s="65" customFormat="1" x14ac:dyDescent="0.3"/>
    <row r="66" s="65" customFormat="1" x14ac:dyDescent="0.3"/>
    <row r="67" s="65" customFormat="1" x14ac:dyDescent="0.3"/>
    <row r="68" s="65" customFormat="1" x14ac:dyDescent="0.3"/>
    <row r="69" s="65" customFormat="1" x14ac:dyDescent="0.3"/>
    <row r="70" s="65" customFormat="1" x14ac:dyDescent="0.3"/>
    <row r="71" s="65" customFormat="1" x14ac:dyDescent="0.3"/>
    <row r="72" s="65" customFormat="1" x14ac:dyDescent="0.3"/>
    <row r="73" s="65" customFormat="1" x14ac:dyDescent="0.3"/>
    <row r="74" s="65" customFormat="1" x14ac:dyDescent="0.3"/>
    <row r="75" s="65" customFormat="1" x14ac:dyDescent="0.3"/>
    <row r="76" s="65" customFormat="1" x14ac:dyDescent="0.3"/>
    <row r="77" s="65" customFormat="1" x14ac:dyDescent="0.3"/>
    <row r="78" s="65" customFormat="1" x14ac:dyDescent="0.3"/>
    <row r="79" s="65" customFormat="1" x14ac:dyDescent="0.3"/>
    <row r="80" s="65" customFormat="1" x14ac:dyDescent="0.3"/>
    <row r="81" s="65" customFormat="1" x14ac:dyDescent="0.3"/>
    <row r="82" s="65" customFormat="1" x14ac:dyDescent="0.3"/>
    <row r="83" s="65" customFormat="1" x14ac:dyDescent="0.3"/>
    <row r="84" s="65" customFormat="1" x14ac:dyDescent="0.3"/>
    <row r="85" s="65" customFormat="1" x14ac:dyDescent="0.3"/>
    <row r="86" s="65" customFormat="1" x14ac:dyDescent="0.3"/>
    <row r="87" s="65" customFormat="1" x14ac:dyDescent="0.3"/>
    <row r="88" s="65" customFormat="1" x14ac:dyDescent="0.3"/>
    <row r="89" s="65" customFormat="1" x14ac:dyDescent="0.3"/>
    <row r="90" s="65" customFormat="1" x14ac:dyDescent="0.3"/>
    <row r="91" s="65" customFormat="1" x14ac:dyDescent="0.3"/>
    <row r="92" s="65" customFormat="1" x14ac:dyDescent="0.3"/>
    <row r="93" s="65" customFormat="1" x14ac:dyDescent="0.3"/>
    <row r="94" s="65" customFormat="1" x14ac:dyDescent="0.3"/>
    <row r="95" s="65" customFormat="1" x14ac:dyDescent="0.3"/>
    <row r="96" s="65" customFormat="1" x14ac:dyDescent="0.3"/>
    <row r="97" s="65" customFormat="1" x14ac:dyDescent="0.3"/>
    <row r="98" s="65" customFormat="1" x14ac:dyDescent="0.3"/>
    <row r="99" s="65" customFormat="1" x14ac:dyDescent="0.3"/>
    <row r="100" s="65" customFormat="1" x14ac:dyDescent="0.3"/>
    <row r="101" s="65" customFormat="1" x14ac:dyDescent="0.3"/>
    <row r="102" s="65" customFormat="1" x14ac:dyDescent="0.3"/>
    <row r="103" s="65" customFormat="1" x14ac:dyDescent="0.3"/>
    <row r="104" s="65" customFormat="1" x14ac:dyDescent="0.3"/>
    <row r="105" s="65" customFormat="1" x14ac:dyDescent="0.3"/>
    <row r="106" s="65" customFormat="1" x14ac:dyDescent="0.3"/>
    <row r="107" s="65" customFormat="1" x14ac:dyDescent="0.3"/>
    <row r="108" s="65" customFormat="1" x14ac:dyDescent="0.3"/>
    <row r="109" s="65" customFormat="1" x14ac:dyDescent="0.3"/>
    <row r="110" s="65" customFormat="1" x14ac:dyDescent="0.3"/>
    <row r="111" s="65" customFormat="1" x14ac:dyDescent="0.3"/>
    <row r="112" s="65" customFormat="1" x14ac:dyDescent="0.3"/>
    <row r="113" s="65" customFormat="1" x14ac:dyDescent="0.3"/>
    <row r="114" s="65" customFormat="1" x14ac:dyDescent="0.3"/>
    <row r="115" s="65" customFormat="1" x14ac:dyDescent="0.3"/>
    <row r="116" s="65" customFormat="1" x14ac:dyDescent="0.3"/>
    <row r="117" s="65" customFormat="1" x14ac:dyDescent="0.3"/>
    <row r="118" s="65" customFormat="1" x14ac:dyDescent="0.3"/>
    <row r="119" s="65" customFormat="1" x14ac:dyDescent="0.3"/>
    <row r="120" s="65" customFormat="1" x14ac:dyDescent="0.3"/>
    <row r="121" s="65" customFormat="1" x14ac:dyDescent="0.3"/>
    <row r="122" s="65" customFormat="1" x14ac:dyDescent="0.3"/>
    <row r="123" s="65" customFormat="1" x14ac:dyDescent="0.3"/>
    <row r="124" s="65" customFormat="1" x14ac:dyDescent="0.3"/>
    <row r="125" s="65" customFormat="1" x14ac:dyDescent="0.3"/>
    <row r="126" s="65" customFormat="1" x14ac:dyDescent="0.3"/>
    <row r="127" s="65" customFormat="1" x14ac:dyDescent="0.3"/>
    <row r="128" s="65" customFormat="1" x14ac:dyDescent="0.3"/>
    <row r="129" s="65" customFormat="1" x14ac:dyDescent="0.3"/>
    <row r="130" s="65" customFormat="1" x14ac:dyDescent="0.3"/>
    <row r="131" s="65" customFormat="1" x14ac:dyDescent="0.3"/>
    <row r="132" s="65" customFormat="1" x14ac:dyDescent="0.3"/>
    <row r="133" s="65" customFormat="1" x14ac:dyDescent="0.3"/>
    <row r="134" s="65" customFormat="1" x14ac:dyDescent="0.3"/>
    <row r="135" s="65" customFormat="1" x14ac:dyDescent="0.3"/>
    <row r="136" s="65" customFormat="1" x14ac:dyDescent="0.3"/>
    <row r="137" s="65" customFormat="1" x14ac:dyDescent="0.3"/>
    <row r="138" s="65" customFormat="1" x14ac:dyDescent="0.3"/>
    <row r="139" s="65" customFormat="1" x14ac:dyDescent="0.3"/>
    <row r="140" s="65" customFormat="1" x14ac:dyDescent="0.3"/>
    <row r="141" s="65" customFormat="1" x14ac:dyDescent="0.3"/>
    <row r="142" s="65" customFormat="1" x14ac:dyDescent="0.3"/>
    <row r="143" s="65" customFormat="1" x14ac:dyDescent="0.3"/>
    <row r="144" s="65" customFormat="1" x14ac:dyDescent="0.3"/>
    <row r="145" s="65" customFormat="1" x14ac:dyDescent="0.3"/>
    <row r="146" s="65" customFormat="1" x14ac:dyDescent="0.3"/>
    <row r="147" s="65" customFormat="1" x14ac:dyDescent="0.3"/>
    <row r="148" s="65" customFormat="1" x14ac:dyDescent="0.3"/>
    <row r="149" s="65" customFormat="1" x14ac:dyDescent="0.3"/>
    <row r="150" s="65" customFormat="1" x14ac:dyDescent="0.3"/>
    <row r="151" s="65" customFormat="1" x14ac:dyDescent="0.3"/>
    <row r="152" s="65" customFormat="1" x14ac:dyDescent="0.3"/>
    <row r="153" s="65" customFormat="1" x14ac:dyDescent="0.3"/>
    <row r="154" s="65" customFormat="1" x14ac:dyDescent="0.3"/>
    <row r="155" s="65" customFormat="1" x14ac:dyDescent="0.3"/>
    <row r="156" s="65" customFormat="1" x14ac:dyDescent="0.3"/>
    <row r="157" s="65" customFormat="1" x14ac:dyDescent="0.3"/>
    <row r="158" s="65" customFormat="1" x14ac:dyDescent="0.3"/>
    <row r="159" s="65" customFormat="1" x14ac:dyDescent="0.3"/>
    <row r="160" s="65" customFormat="1" x14ac:dyDescent="0.3"/>
    <row r="161" s="65" customFormat="1" x14ac:dyDescent="0.3"/>
    <row r="162" s="65" customFormat="1" x14ac:dyDescent="0.3"/>
    <row r="163" s="65" customFormat="1" x14ac:dyDescent="0.3"/>
    <row r="164" s="65" customFormat="1" x14ac:dyDescent="0.3"/>
    <row r="165" s="65" customFormat="1" x14ac:dyDescent="0.3"/>
    <row r="166" s="65" customFormat="1" x14ac:dyDescent="0.3"/>
    <row r="167" s="65" customFormat="1" x14ac:dyDescent="0.3"/>
    <row r="168" s="65" customFormat="1" x14ac:dyDescent="0.3"/>
    <row r="169" s="65" customFormat="1" x14ac:dyDescent="0.3"/>
    <row r="170" s="65" customFormat="1" x14ac:dyDescent="0.3"/>
    <row r="171" s="65" customFormat="1" x14ac:dyDescent="0.3"/>
    <row r="172" s="65" customFormat="1" x14ac:dyDescent="0.3"/>
    <row r="173" s="65" customFormat="1" x14ac:dyDescent="0.3"/>
    <row r="174" s="65" customFormat="1" x14ac:dyDescent="0.3"/>
    <row r="175" s="65" customFormat="1" x14ac:dyDescent="0.3"/>
    <row r="176" s="65" customFormat="1" x14ac:dyDescent="0.3"/>
    <row r="177" s="65" customFormat="1" x14ac:dyDescent="0.3"/>
    <row r="178" s="65" customFormat="1" x14ac:dyDescent="0.3"/>
    <row r="179" s="65" customFormat="1" x14ac:dyDescent="0.3"/>
    <row r="180" s="65" customFormat="1" x14ac:dyDescent="0.3"/>
    <row r="181" s="65" customFormat="1" x14ac:dyDescent="0.3"/>
    <row r="182" s="65" customFormat="1" x14ac:dyDescent="0.3"/>
    <row r="183" s="65" customFormat="1" x14ac:dyDescent="0.3"/>
    <row r="184" s="65" customFormat="1" x14ac:dyDescent="0.3"/>
    <row r="185" s="65" customFormat="1" x14ac:dyDescent="0.3"/>
  </sheetData>
  <mergeCells count="1">
    <mergeCell ref="I7:K7"/>
  </mergeCells>
  <phoneticPr fontId="1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nteCarlo">
                <anchor moveWithCells="1" sizeWithCells="1">
                  <from>
                    <xdr:col>2</xdr:col>
                    <xdr:colOff>0</xdr:colOff>
                    <xdr:row>3</xdr:row>
                    <xdr:rowOff>190500</xdr:rowOff>
                  </from>
                  <to>
                    <xdr:col>2</xdr:col>
                    <xdr:colOff>1257300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estore">
                <anchor moveWithCells="1" sizeWithCells="1">
                  <from>
                    <xdr:col>2</xdr:col>
                    <xdr:colOff>1381125</xdr:colOff>
                    <xdr:row>3</xdr:row>
                    <xdr:rowOff>190500</xdr:rowOff>
                  </from>
                  <to>
                    <xdr:col>3</xdr:col>
                    <xdr:colOff>466725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5</vt:i4>
      </vt:variant>
    </vt:vector>
  </HeadingPairs>
  <TitlesOfParts>
    <vt:vector size="8" baseType="lpstr">
      <vt:lpstr>Input</vt:lpstr>
      <vt:lpstr>Calc</vt:lpstr>
      <vt:lpstr>Monte_Carlo</vt:lpstr>
      <vt:lpstr>cell</vt:lpstr>
      <vt:lpstr>cost</vt:lpstr>
      <vt:lpstr>cpi</vt:lpstr>
      <vt:lpstr>performance</vt:lpstr>
      <vt:lpstr>ppf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Hagmann</dc:creator>
  <cp:lastModifiedBy>PC-1</cp:lastModifiedBy>
  <dcterms:created xsi:type="dcterms:W3CDTF">2020-06-02T11:06:28Z</dcterms:created>
  <dcterms:modified xsi:type="dcterms:W3CDTF">2022-10-03T13:45:38Z</dcterms:modified>
</cp:coreProperties>
</file>